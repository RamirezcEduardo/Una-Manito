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Por orden" sheetId="2" state="visible" r:id="rId2"/>
    <sheet name="Costos fijos" sheetId="3" state="visible" r:id="rId3"/>
    <sheet name="Punto de equilibrio" sheetId="4" state="visible" r:id="rId4"/>
    <sheet name="Proyección 12 meses" sheetId="5" state="visible" r:id="rId5"/>
    <sheet name="Ganancia so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-"/>
    <numFmt numFmtId="165" formatCode="&quot;S/ &quot;#,##0.00;(&quot;S/ &quot;#,##0.00);-"/>
    <numFmt numFmtId="166" formatCode="#,##0;(#,##0);-"/>
    <numFmt numFmtId="167" formatCode="0.0"/>
    <numFmt numFmtId="168" formatCode="&quot;S/ &quot;#,##0;(&quot;S/ &quot;#,##0);-"/>
  </numFmts>
  <fonts count="10">
    <font>
      <name val="Calibri"/>
      <family val="2"/>
      <color theme="1"/>
      <sz val="11"/>
      <scheme val="minor"/>
    </font>
    <font>
      <name val="Arial"/>
      <b val="1"/>
      <color rgb="000B1F44"/>
      <sz val="14"/>
    </font>
    <font>
      <name val="Arial"/>
      <i val="1"/>
      <color rgb="005B6B76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  <font>
      <name val="Arial"/>
      <color rgb="005B6B76"/>
      <sz val="9"/>
    </font>
    <font>
      <name val="Arial"/>
      <i val="1"/>
      <color rgb="005B6B76"/>
      <sz val="9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0B6EF0"/>
      </patternFill>
    </fill>
    <fill>
      <patternFill patternType="solid">
        <fgColor rgb="00E6F0F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0" pivotButton="0" quotePrefix="0" xfId="0"/>
    <xf numFmtId="164" fontId="6" fillId="4" borderId="0" pivotButton="0" quotePrefix="0" xfId="0"/>
    <xf numFmtId="0" fontId="7" fillId="0" borderId="0" pivotButton="0" quotePrefix="0" xfId="0"/>
    <xf numFmtId="165" fontId="6" fillId="4" borderId="0" pivotButton="0" quotePrefix="0" xfId="0"/>
    <xf numFmtId="166" fontId="6" fillId="4" borderId="0" pivotButton="0" quotePrefix="0" xfId="0"/>
    <xf numFmtId="167" fontId="6" fillId="4" borderId="0" pivotButton="0" quotePrefix="0" xfId="0"/>
    <xf numFmtId="1" fontId="6" fillId="4" borderId="0" pivotButton="0" quotePrefix="0" xfId="0"/>
    <xf numFmtId="0" fontId="6" fillId="4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0" fontId="8" fillId="0" borderId="0" pivotButton="0" quotePrefix="0" xfId="0"/>
    <xf numFmtId="168" fontId="6" fillId="4" borderId="0" pivotButton="0" quotePrefix="0" xfId="0"/>
    <xf numFmtId="168" fontId="4" fillId="0" borderId="0" pivotButton="0" quotePrefix="0" xfId="0"/>
    <xf numFmtId="168" fontId="9" fillId="0" borderId="0" pivotButton="0" quotePrefix="0" xfId="0"/>
    <xf numFmtId="165" fontId="9" fillId="0" borderId="0" pivotButton="0" quotePrefix="0" xfId="0"/>
    <xf numFmtId="166" fontId="5" fillId="0" borderId="0" pivotButton="0" quotePrefix="0" xfId="0"/>
    <xf numFmtId="168" fontId="5" fillId="0" borderId="0" pivotButton="0" quotePrefix="0" xfId="0"/>
    <xf numFmtId="166" fontId="4" fillId="0" borderId="0" pivotButton="0" quotePrefix="0" xfId="0"/>
    <xf numFmtId="0" fontId="9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mensual y acumulado (S/)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'Proyección 12 meses'!I3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'Proyección 12 meses'!$A$4:$A$15</f>
            </numRef>
          </cat>
          <val>
            <numRef>
              <f>'Proyección 12 meses'!$I$4:$I$15</f>
            </numRef>
          </val>
        </ser>
        <ser>
          <idx val="1"/>
          <order val="1"/>
          <tx>
            <strRef>
              <f>'Proyección 12 meses'!J3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'Proyección 12 meses'!$A$4:$A$15</f>
            </numRef>
          </cat>
          <val>
            <numRef>
              <f>'Proyección 12 meses'!$J$4:$J$15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B5" authorId="0" shapeId="0">
      <text>
        <t>Mínimo de 3 horas configurado en la app.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60" customWidth="1" min="3" max="3"/>
  </cols>
  <sheetData>
    <row r="1">
      <c r="A1" s="1" t="inlineStr">
        <is>
          <t>Una Manito · Supuestos del modelo</t>
        </is>
      </c>
    </row>
    <row r="2">
      <c r="A2" s="2" t="inlineStr">
        <is>
          <t>Celdas azules con fondo amarillo = puedes cambiarlas. Todo lo demás se recalcula solo.</t>
        </is>
      </c>
    </row>
    <row r="4">
      <c r="A4" s="3" t="inlineStr">
        <is>
          <t>Concepto</t>
        </is>
      </c>
      <c r="B4" s="3" t="inlineStr">
        <is>
          <t>Valor</t>
        </is>
      </c>
      <c r="C4" s="3" t="inlineStr">
        <is>
          <t>Fuente / nota</t>
        </is>
      </c>
    </row>
    <row r="5">
      <c r="A5" s="4" t="inlineStr">
        <is>
          <t>Generales</t>
        </is>
      </c>
    </row>
    <row r="6">
      <c r="A6" s="5" t="inlineStr">
        <is>
          <t>Comisión a la socia</t>
        </is>
      </c>
      <c r="B6" s="6" t="n">
        <v>0.15</v>
      </c>
      <c r="C6" s="7" t="inlineStr">
        <is>
          <t>Configurada en la app (Admin → Ajustes).</t>
        </is>
      </c>
    </row>
    <row r="7">
      <c r="A7" s="5" t="inlineStr">
        <is>
          <t>Cargo de servicio al cliente (S/ por orden)</t>
        </is>
      </c>
      <c r="B7" s="8" t="n">
        <v>0</v>
      </c>
      <c r="C7" s="7" t="inlineStr">
        <is>
          <t>Recomendación del estudio: S/3–5. Pon 4 para ver el escenario con cargo.</t>
        </is>
      </c>
    </row>
    <row r="8">
      <c r="A8" s="5" t="inlineStr">
        <is>
          <t>IGV</t>
        </is>
      </c>
      <c r="B8" s="6" t="n">
        <v>0.18</v>
      </c>
      <c r="C8" s="7" t="inlineStr">
        <is>
          <t>SUNAT. La comisión se asume con IGV incluido.</t>
        </is>
      </c>
    </row>
    <row r="9">
      <c r="A9" s="5" t="inlineStr">
        <is>
          <t>% de pagos por Yape/Plin (pasarela)</t>
        </is>
      </c>
      <c r="B9" s="6" t="n">
        <v>0.6</v>
      </c>
      <c r="C9" s="7" t="inlineStr">
        <is>
          <t>Supuesto propio.</t>
        </is>
      </c>
    </row>
    <row r="10">
      <c r="A10" s="5" t="inlineStr">
        <is>
          <t>% de pagos con tarjeta</t>
        </is>
      </c>
      <c r="B10" s="6" t="n">
        <v>0.2</v>
      </c>
      <c r="C10" s="7" t="inlineStr">
        <is>
          <t>Supuesto propio. El resto se asume efectivo.</t>
        </is>
      </c>
    </row>
    <row r="11">
      <c r="A11" s="5" t="inlineStr">
        <is>
          <t>Comisión pasarela Yape/Plin</t>
        </is>
      </c>
      <c r="B11" s="6" t="n">
        <v>0.015</v>
      </c>
      <c r="C11" s="7" t="inlineStr">
        <is>
          <t>Izipay 1.5% (kom.pe, 2026). Confirmar tarifario.</t>
        </is>
      </c>
    </row>
    <row r="12">
      <c r="A12" s="5" t="inlineStr">
        <is>
          <t>Comisión pasarela tarjeta</t>
        </is>
      </c>
      <c r="B12" s="6" t="n">
        <v>0.042</v>
      </c>
      <c r="C12" s="7" t="inlineStr">
        <is>
          <t>Culqi hasta 4.2% (tarifario abril 2026).</t>
        </is>
      </c>
    </row>
    <row r="13">
      <c r="A13" s="5" t="inlineStr">
        <is>
          <t>Cargo fijo por pago con tarjeta (S/)</t>
        </is>
      </c>
      <c r="B13" s="8" t="n">
        <v>0.3</v>
      </c>
      <c r="C13" s="7" t="inlineStr">
        <is>
          <t>Izipay/Culqi ~S/0.30.</t>
        </is>
      </c>
    </row>
    <row r="14">
      <c r="A14" s="5" t="inlineStr">
        <is>
          <t>Soporte / incidencias por orden (S/)</t>
        </is>
      </c>
      <c r="B14" s="8" t="n">
        <v>0.4</v>
      </c>
      <c r="C14" s="7" t="inlineStr">
        <is>
          <t>Supuesto propio (atención, reembolsos).</t>
        </is>
      </c>
    </row>
    <row r="15">
      <c r="A15" s="4" t="inlineStr">
        <is>
          <t>Crecimiento y clientes</t>
        </is>
      </c>
    </row>
    <row r="16">
      <c r="A16" s="5" t="inlineStr">
        <is>
          <t>Órdenes en el mes 1</t>
        </is>
      </c>
      <c r="B16" s="9" t="n">
        <v>150</v>
      </c>
      <c r="C16" s="7" t="inlineStr">
        <is>
          <t>Supuesto propio para el piloto.</t>
        </is>
      </c>
    </row>
    <row r="17">
      <c r="A17" s="5" t="inlineStr">
        <is>
          <t>Crecimiento mensual de órdenes</t>
        </is>
      </c>
      <c r="B17" s="6" t="n">
        <v>0.2</v>
      </c>
      <c r="C17" s="7" t="inlineStr">
        <is>
          <t>Supuesto propio.</t>
        </is>
      </c>
    </row>
    <row r="18">
      <c r="A18" s="5" t="inlineStr">
        <is>
          <t>Órdenes por cliente al mes</t>
        </is>
      </c>
      <c r="B18" s="10" t="n">
        <v>1.5</v>
      </c>
      <c r="C18" s="7" t="inlineStr">
        <is>
          <t>Cliente quincenal ≈ 2; ocasional ≈ 1.</t>
        </is>
      </c>
    </row>
    <row r="19">
      <c r="A19" s="5" t="inlineStr">
        <is>
          <t>% de clientes que se van cada mes (churn)</t>
        </is>
      </c>
      <c r="B19" s="6" t="n">
        <v>0.25</v>
      </c>
      <c r="C19" s="7" t="inlineStr">
        <is>
          <t>Homejoy tenía ~75% de abandono al mes 1; meta piloto ≤ 60%.</t>
        </is>
      </c>
    </row>
    <row r="20">
      <c r="A20" s="5" t="inlineStr">
        <is>
          <t>Costo de conseguir un cliente (CAC, S/)</t>
        </is>
      </c>
      <c r="B20" s="8" t="n">
        <v>25</v>
      </c>
      <c r="C20" s="7" t="inlineStr">
        <is>
          <t>Estudio: S/15–37 con anuncios en Meta/TikTok.</t>
        </is>
      </c>
    </row>
    <row r="21">
      <c r="A21" s="5" t="inlineStr">
        <is>
          <t>Escenario de costos fijos (1=Mínimo, 2=Equipo pequeño, 3=Crecimiento)</t>
        </is>
      </c>
      <c r="B21" s="11" t="n">
        <v>1</v>
      </c>
      <c r="C21" s="7" t="inlineStr">
        <is>
          <t>Elige 1, 2 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Lo que deja cada orden, por servicio</t>
        </is>
      </c>
    </row>
    <row r="3">
      <c r="A3" s="3" t="inlineStr">
        <is>
          <t>Concepto</t>
        </is>
      </c>
      <c r="B3" s="3" t="inlineStr">
        <is>
          <t>Limpieza</t>
        </is>
      </c>
      <c r="C3" s="3" t="inlineStr">
        <is>
          <t>Gasfitería</t>
        </is>
      </c>
      <c r="D3" s="3" t="inlineStr">
        <is>
          <t>Electricidad</t>
        </is>
      </c>
      <c r="E3" s="3" t="inlineStr">
        <is>
          <t>Lavado de autos</t>
        </is>
      </c>
      <c r="F3" s="3" t="inlineStr">
        <is>
          <t>Piscinas</t>
        </is>
      </c>
      <c r="G3" s="3" t="inlineStr">
        <is>
          <t>Promedio ponderado</t>
        </is>
      </c>
    </row>
    <row r="4">
      <c r="A4" s="5" t="inlineStr">
        <is>
          <t>Precio por hora (S/)</t>
        </is>
      </c>
      <c r="B4" s="8" t="n">
        <v>15</v>
      </c>
      <c r="C4" s="8" t="n">
        <v>35</v>
      </c>
      <c r="D4" s="8" t="n">
        <v>35</v>
      </c>
      <c r="E4" s="8" t="n">
        <v>25</v>
      </c>
      <c r="F4" s="8" t="n">
        <v>30</v>
      </c>
    </row>
    <row r="5">
      <c r="A5" s="5" t="inlineStr">
        <is>
          <t>Horas por orden</t>
        </is>
      </c>
      <c r="B5" s="12" t="n">
        <v>3</v>
      </c>
      <c r="C5" s="12" t="n">
        <v>2</v>
      </c>
      <c r="D5" s="12" t="n">
        <v>2</v>
      </c>
      <c r="E5" s="12" t="n">
        <v>1</v>
      </c>
      <c r="F5" s="12" t="n">
        <v>2</v>
      </c>
    </row>
    <row r="6">
      <c r="A6" s="5" t="inlineStr">
        <is>
          <t>Materiales (S/)</t>
        </is>
      </c>
      <c r="B6" s="8" t="n">
        <v>10</v>
      </c>
      <c r="C6" s="8" t="n">
        <v>0</v>
      </c>
      <c r="D6" s="8" t="n">
        <v>0</v>
      </c>
      <c r="E6" s="8" t="n">
        <v>5</v>
      </c>
      <c r="F6" s="8" t="n">
        <v>15</v>
      </c>
    </row>
    <row r="7">
      <c r="A7" s="5" t="inlineStr">
        <is>
          <t>Mezcla de órdenes (%)</t>
        </is>
      </c>
      <c r="B7" s="6" t="n">
        <v>0.7</v>
      </c>
      <c r="C7" s="6" t="n">
        <v>0.1</v>
      </c>
      <c r="D7" s="6" t="n">
        <v>0.1</v>
      </c>
      <c r="E7" s="6" t="n">
        <v>0.05</v>
      </c>
      <c r="F7" s="6" t="n">
        <v>0.05</v>
      </c>
      <c r="G7" s="13">
        <f>SUM(B7:F7)</f>
        <v/>
      </c>
    </row>
    <row r="8">
      <c r="A8" s="5" t="inlineStr">
        <is>
          <t>Mano de obra (S/)</t>
        </is>
      </c>
      <c r="B8" s="14">
        <f>B4*B5</f>
        <v/>
      </c>
      <c r="C8" s="14">
        <f>C4*C5</f>
        <v/>
      </c>
      <c r="D8" s="14">
        <f>D4*D5</f>
        <v/>
      </c>
      <c r="E8" s="14">
        <f>E4*E5</f>
        <v/>
      </c>
      <c r="F8" s="14">
        <f>F4*F5</f>
        <v/>
      </c>
      <c r="G8" s="15">
        <f>SUMPRODUCT(B8:F8,$B$7:$F$7)</f>
        <v/>
      </c>
    </row>
    <row r="9">
      <c r="A9" s="5" t="inlineStr">
        <is>
          <t>Ticket que paga el cliente (S/)</t>
        </is>
      </c>
      <c r="B9" s="14">
        <f>B8+B6+Supuestos!$B$7</f>
        <v/>
      </c>
      <c r="C9" s="14">
        <f>C8+C6+Supuestos!$B$7</f>
        <v/>
      </c>
      <c r="D9" s="14">
        <f>D8+D6+Supuestos!$B$7</f>
        <v/>
      </c>
      <c r="E9" s="14">
        <f>E8+E6+Supuestos!$B$7</f>
        <v/>
      </c>
      <c r="F9" s="14">
        <f>F8+F6+Supuestos!$B$7</f>
        <v/>
      </c>
      <c r="G9" s="15">
        <f>SUMPRODUCT(B9:F9,$B$7:$F$7)</f>
        <v/>
      </c>
    </row>
    <row r="10">
      <c r="A10" s="5" t="inlineStr">
        <is>
          <t>Comisión de la plataforma (S/)</t>
        </is>
      </c>
      <c r="B10" s="14">
        <f>ROUND(B8*Supuestos!$B$6,2)</f>
        <v/>
      </c>
      <c r="C10" s="14">
        <f>ROUND(C8*Supuestos!$B$6,2)</f>
        <v/>
      </c>
      <c r="D10" s="14">
        <f>ROUND(D8*Supuestos!$B$6,2)</f>
        <v/>
      </c>
      <c r="E10" s="14">
        <f>ROUND(E8*Supuestos!$B$6,2)</f>
        <v/>
      </c>
      <c r="F10" s="14">
        <f>ROUND(F8*Supuestos!$B$6,2)</f>
        <v/>
      </c>
      <c r="G10" s="15">
        <f>SUMPRODUCT(B10:F10,$B$7:$F$7)</f>
        <v/>
      </c>
    </row>
    <row r="11">
      <c r="A11" s="5" t="inlineStr">
        <is>
          <t>Cargo de servicio (S/)</t>
        </is>
      </c>
      <c r="B11" s="14">
        <f>Supuestos!$B$7</f>
        <v/>
      </c>
      <c r="C11" s="14">
        <f>Supuestos!$B$7</f>
        <v/>
      </c>
      <c r="D11" s="14">
        <f>Supuestos!$B$7</f>
        <v/>
      </c>
      <c r="E11" s="14">
        <f>Supuestos!$B$7</f>
        <v/>
      </c>
      <c r="F11" s="14">
        <f>Supuestos!$B$7</f>
        <v/>
      </c>
      <c r="G11" s="15">
        <f>SUMPRODUCT(B11:F11,$B$7:$F$7)</f>
        <v/>
      </c>
    </row>
    <row r="12">
      <c r="A12" s="5" t="inlineStr">
        <is>
          <t>Ingreso bruto plataforma (S/)</t>
        </is>
      </c>
      <c r="B12" s="14">
        <f>B10+B11</f>
        <v/>
      </c>
      <c r="C12" s="14">
        <f>C10+C11</f>
        <v/>
      </c>
      <c r="D12" s="14">
        <f>D10+D11</f>
        <v/>
      </c>
      <c r="E12" s="14">
        <f>E10+E11</f>
        <v/>
      </c>
      <c r="F12" s="14">
        <f>F10+F11</f>
        <v/>
      </c>
      <c r="G12" s="15">
        <f>SUMPRODUCT(B12:F12,$B$7:$F$7)</f>
        <v/>
      </c>
    </row>
    <row r="13">
      <c r="A13" s="5" t="inlineStr">
        <is>
          <t>Ingreso sin IGV (S/)</t>
        </is>
      </c>
      <c r="B13" s="14">
        <f>B12/(1+Supuestos!$B$8)</f>
        <v/>
      </c>
      <c r="C13" s="14">
        <f>C12/(1+Supuestos!$B$8)</f>
        <v/>
      </c>
      <c r="D13" s="14">
        <f>D12/(1+Supuestos!$B$8)</f>
        <v/>
      </c>
      <c r="E13" s="14">
        <f>E12/(1+Supuestos!$B$8)</f>
        <v/>
      </c>
      <c r="F13" s="14">
        <f>F12/(1+Supuestos!$B$8)</f>
        <v/>
      </c>
      <c r="G13" s="15">
        <f>SUMPRODUCT(B13:F13,$B$7:$F$7)</f>
        <v/>
      </c>
    </row>
    <row r="14">
      <c r="A14" s="5" t="inlineStr">
        <is>
          <t>Costo pasarela (S/)</t>
        </is>
      </c>
      <c r="B14" s="14">
        <f>B9*(Supuestos!$B$9*Supuestos!$B$11+Supuestos!$B$10*Supuestos!$B$12)+Supuestos!$B$10*Supuestos!$B$13</f>
        <v/>
      </c>
      <c r="C14" s="14">
        <f>C9*(Supuestos!$B$9*Supuestos!$B$11+Supuestos!$B$10*Supuestos!$B$12)+Supuestos!$B$10*Supuestos!$B$13</f>
        <v/>
      </c>
      <c r="D14" s="14">
        <f>D9*(Supuestos!$B$9*Supuestos!$B$11+Supuestos!$B$10*Supuestos!$B$12)+Supuestos!$B$10*Supuestos!$B$13</f>
        <v/>
      </c>
      <c r="E14" s="14">
        <f>E9*(Supuestos!$B$9*Supuestos!$B$11+Supuestos!$B$10*Supuestos!$B$12)+Supuestos!$B$10*Supuestos!$B$13</f>
        <v/>
      </c>
      <c r="F14" s="14">
        <f>F9*(Supuestos!$B$9*Supuestos!$B$11+Supuestos!$B$10*Supuestos!$B$12)+Supuestos!$B$10*Supuestos!$B$13</f>
        <v/>
      </c>
      <c r="G14" s="15">
        <f>SUMPRODUCT(B14:F14,$B$7:$F$7)</f>
        <v/>
      </c>
    </row>
    <row r="15">
      <c r="A15" s="5" t="inlineStr">
        <is>
          <t>Soporte (S/)</t>
        </is>
      </c>
      <c r="B15" s="14">
        <f>Supuestos!$B$14</f>
        <v/>
      </c>
      <c r="C15" s="14">
        <f>Supuestos!$B$14</f>
        <v/>
      </c>
      <c r="D15" s="14">
        <f>Supuestos!$B$14</f>
        <v/>
      </c>
      <c r="E15" s="14">
        <f>Supuestos!$B$14</f>
        <v/>
      </c>
      <c r="F15" s="14">
        <f>Supuestos!$B$14</f>
        <v/>
      </c>
      <c r="G15" s="15">
        <f>SUMPRODUCT(B15:F15,$B$7:$F$7)</f>
        <v/>
      </c>
    </row>
    <row r="16">
      <c r="A16" s="16" t="inlineStr">
        <is>
          <t>Contribución por orden (S/)</t>
        </is>
      </c>
      <c r="B16" s="14">
        <f>B13-B14-B15</f>
        <v/>
      </c>
      <c r="C16" s="14">
        <f>C13-C14-C15</f>
        <v/>
      </c>
      <c r="D16" s="14">
        <f>D13-D14-D15</f>
        <v/>
      </c>
      <c r="E16" s="14">
        <f>E13-E14-E15</f>
        <v/>
      </c>
      <c r="F16" s="14">
        <f>F13-F14-F15</f>
        <v/>
      </c>
      <c r="G16" s="15">
        <f>SUMPRODUCT(B16:F16,$B$7:$F$7)</f>
        <v/>
      </c>
    </row>
    <row r="17">
      <c r="A17" s="5" t="inlineStr">
        <is>
          <t>Margen sobre ticket (%)</t>
        </is>
      </c>
      <c r="B17" s="17">
        <f>IFERROR(B16/B9,0)</f>
        <v/>
      </c>
      <c r="C17" s="17">
        <f>IFERROR(C16/C9,0)</f>
        <v/>
      </c>
      <c r="D17" s="17">
        <f>IFERROR(D16/D9,0)</f>
        <v/>
      </c>
      <c r="E17" s="17">
        <f>IFERROR(E16/E9,0)</f>
        <v/>
      </c>
      <c r="F17" s="17">
        <f>IFERROR(F16/F9,0)</f>
        <v/>
      </c>
      <c r="G17" s="18">
        <f>IFERROR(G16/G9,0)</f>
        <v/>
      </c>
    </row>
    <row r="18">
      <c r="A18" s="16" t="inlineStr">
        <is>
          <t>Lo que recibe la socia (S/)</t>
        </is>
      </c>
      <c r="B18" s="14">
        <f>B8-B10+B6</f>
        <v/>
      </c>
      <c r="C18" s="14">
        <f>C8-C10+C6</f>
        <v/>
      </c>
      <c r="D18" s="14">
        <f>D8-D10+D6</f>
        <v/>
      </c>
      <c r="E18" s="14">
        <f>E8-E10+E6</f>
        <v/>
      </c>
      <c r="F18" s="14">
        <f>F8-F10+F6</f>
        <v/>
      </c>
      <c r="G18" s="15">
        <f>SUMPRODUCT(B18:F18,$B$7:$F$7)</f>
        <v/>
      </c>
    </row>
    <row r="20">
      <c r="A20" s="19" t="inlineStr">
        <is>
          <t>La mezcla debe sumar 100%. Precios de la app (src/lib/config.ts). Materiales pasan íntegros a la socia.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16" customWidth="1" min="4" max="4"/>
    <col width="44" customWidth="1" min="5" max="5"/>
  </cols>
  <sheetData>
    <row r="1">
      <c r="A1" s="1" t="inlineStr">
        <is>
          <t>Costos fijos mensuales por escenario (S/)</t>
        </is>
      </c>
    </row>
    <row r="3">
      <c r="A3" s="3" t="inlineStr">
        <is>
          <t>Partida</t>
        </is>
      </c>
      <c r="B3" s="3" t="inlineStr">
        <is>
          <t>1. Mínimo</t>
        </is>
      </c>
      <c r="C3" s="3" t="inlineStr">
        <is>
          <t>2. Equipo pequeño</t>
        </is>
      </c>
      <c r="D3" s="3" t="inlineStr">
        <is>
          <t>3. Crecimiento</t>
        </is>
      </c>
      <c r="E3" s="3" t="inlineStr">
        <is>
          <t>Nota</t>
        </is>
      </c>
    </row>
    <row r="4">
      <c r="A4" s="5" t="inlineStr">
        <is>
          <t>Sueldos fundadores</t>
        </is>
      </c>
      <c r="B4" s="20" t="n">
        <v>0</v>
      </c>
      <c r="C4" s="20" t="n">
        <v>0</v>
      </c>
      <c r="D4" s="20" t="n">
        <v>6000</v>
      </c>
      <c r="E4" s="7" t="inlineStr">
        <is>
          <t>Escenario 3 incluye sueldo.</t>
        </is>
      </c>
    </row>
    <row r="5">
      <c r="A5" s="5" t="inlineStr">
        <is>
          <t>Operaciones / soporte</t>
        </is>
      </c>
      <c r="B5" s="20" t="n">
        <v>0</v>
      </c>
      <c r="C5" s="20" t="n">
        <v>1635</v>
      </c>
      <c r="D5" s="20" t="n">
        <v>3270</v>
      </c>
      <c r="E5" s="7" t="inlineStr">
        <is>
          <t>Sueldo mínimo S/1,130 + EsSalud; Computrabajo.</t>
        </is>
      </c>
    </row>
    <row r="6">
      <c r="A6" s="5" t="inlineStr">
        <is>
          <t>Community manager</t>
        </is>
      </c>
      <c r="B6" s="20" t="n">
        <v>0</v>
      </c>
      <c r="C6" s="20" t="n">
        <v>3270</v>
      </c>
      <c r="D6" s="20" t="n">
        <v>3270</v>
      </c>
      <c r="E6" s="7" t="inlineStr">
        <is>
          <t>Coderhouse 2025: S/2.8–5.2k.</t>
        </is>
      </c>
    </row>
    <row r="7">
      <c r="A7" s="5" t="inlineStr">
        <is>
          <t>Contador</t>
        </is>
      </c>
      <c r="B7" s="20" t="n">
        <v>500</v>
      </c>
      <c r="C7" s="20" t="n">
        <v>500</v>
      </c>
      <c r="D7" s="20" t="n">
        <v>800</v>
      </c>
      <c r="E7" s="7" t="inlineStr">
        <is>
          <t>Estimación.</t>
        </is>
      </c>
    </row>
    <row r="8">
      <c r="A8" s="5" t="inlineStr">
        <is>
          <t>Software (Supabase, Vercel, dominio, correo)</t>
        </is>
      </c>
      <c r="B8" s="20" t="n">
        <v>200</v>
      </c>
      <c r="C8" s="20" t="n">
        <v>300</v>
      </c>
      <c r="D8" s="20" t="n">
        <v>600</v>
      </c>
      <c r="E8" s="7" t="inlineStr">
        <is>
          <t>Estimación; planes gratuitos al inicio.</t>
        </is>
      </c>
    </row>
    <row r="9">
      <c r="A9" s="5" t="inlineStr">
        <is>
          <t>Marketing</t>
        </is>
      </c>
      <c r="B9" s="20" t="n">
        <v>1500</v>
      </c>
      <c r="C9" s="20" t="n">
        <v>3000</v>
      </c>
      <c r="D9" s="20" t="n">
        <v>6000</v>
      </c>
      <c r="E9" s="7" t="inlineStr">
        <is>
          <t>Anuncios + referidos.</t>
        </is>
      </c>
    </row>
    <row r="10">
      <c r="A10" s="5" t="inlineStr">
        <is>
          <t>Seguros, legal y otros</t>
        </is>
      </c>
      <c r="B10" s="20" t="n">
        <v>300</v>
      </c>
      <c r="C10" s="20" t="n">
        <v>395</v>
      </c>
      <c r="D10" s="20" t="n">
        <v>60</v>
      </c>
      <c r="E10" s="7" t="inlineStr">
        <is>
          <t>Estimación.</t>
        </is>
      </c>
    </row>
    <row r="11">
      <c r="A11" s="16" t="inlineStr">
        <is>
          <t>Total</t>
        </is>
      </c>
      <c r="B11" s="21">
        <f>SUM(B4:B10)</f>
        <v/>
      </c>
      <c r="C11" s="21">
        <f>SUM(C4:C10)</f>
        <v/>
      </c>
      <c r="D11" s="21">
        <f>SUM(D4:D10)</f>
        <v/>
      </c>
    </row>
    <row r="13">
      <c r="A13" s="16" t="inlineStr">
        <is>
          <t>Escenario elegido en Supuestos</t>
        </is>
      </c>
      <c r="B13" s="22">
        <f>INDEX(B11:D11,1,Supuestos!$B$21)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¿Cuántas órdenes al mes para no perder?</t>
        </is>
      </c>
    </row>
    <row r="3">
      <c r="A3" t="inlineStr">
        <is>
          <t>Contribución promedio por orden (con el cargo de Supuestos)</t>
        </is>
      </c>
      <c r="B3" s="23">
        <f>'Por orden'!G16</f>
        <v/>
      </c>
    </row>
    <row r="4">
      <c r="A4" t="inlineStr">
        <is>
          <t>Contribución promedio sin cargo de servicio</t>
        </is>
      </c>
      <c r="B4" s="14">
        <f>SUMPRODUCT('Por orden'!B10:F10,'Por orden'!B7:F7)/(1+Supuestos!$B$8)-SUMPRODUCT('Por orden'!B8:F8+'Por orden'!B6:F6,'Por orden'!B7:F7)*(Supuestos!$B$9*Supuestos!$B$11+Supuestos!$B$10*Supuestos!$B$12)-Supuestos!$B$10*Supuestos!$B$13-Supuestos!$B$14</f>
        <v/>
      </c>
    </row>
    <row r="5">
      <c r="A5" t="inlineStr">
        <is>
          <t>Contribución promedio con cargo de S/4</t>
        </is>
      </c>
      <c r="B5" s="14">
        <f>B4+4/(1+Supuestos!$B$8)-4*(Supuestos!$B$9*Supuestos!$B$11+Supuestos!$B$10*Supuestos!$B$12)</f>
        <v/>
      </c>
    </row>
    <row r="7">
      <c r="A7" s="3" t="inlineStr">
        <is>
          <t>Escenario</t>
        </is>
      </c>
      <c r="B7" s="3" t="inlineStr">
        <is>
          <t>Costos fijos/mes</t>
        </is>
      </c>
      <c r="C7" s="3" t="inlineStr">
        <is>
          <t>Órdenes (sin cargo)</t>
        </is>
      </c>
      <c r="D7" s="3" t="inlineStr">
        <is>
          <t>Órdenes (cargo S/4)</t>
        </is>
      </c>
      <c r="E7" s="3" t="inlineStr">
        <is>
          <t>Socias activas necesarias*</t>
        </is>
      </c>
      <c r="F7" s="3" t="inlineStr">
        <is>
          <t>Clientes quincenales necesarios</t>
        </is>
      </c>
    </row>
    <row r="8">
      <c r="A8" s="16" t="inlineStr">
        <is>
          <t>1. Mínimo</t>
        </is>
      </c>
      <c r="B8" s="22">
        <f>'Costos fijos'!B11</f>
        <v/>
      </c>
      <c r="C8" s="24">
        <f>IFERROR(ROUNDUP(B8/$B$4,0),0)</f>
        <v/>
      </c>
      <c r="D8" s="24">
        <f>IFERROR(ROUNDUP(B8/$B$5,0),0)</f>
        <v/>
      </c>
      <c r="E8" s="24">
        <f>ROUNDUP(C8/34,0)</f>
        <v/>
      </c>
      <c r="F8" s="24">
        <f>ROUNDUP(C8/2,0)</f>
        <v/>
      </c>
    </row>
    <row r="9">
      <c r="A9" s="16" t="inlineStr">
        <is>
          <t>2. Equipo pequeño</t>
        </is>
      </c>
      <c r="B9" s="22">
        <f>'Costos fijos'!C11</f>
        <v/>
      </c>
      <c r="C9" s="24">
        <f>IFERROR(ROUNDUP(B9/$B$4,0),0)</f>
        <v/>
      </c>
      <c r="D9" s="24">
        <f>IFERROR(ROUNDUP(B9/$B$5,0),0)</f>
        <v/>
      </c>
      <c r="E9" s="24">
        <f>ROUNDUP(C9/34,0)</f>
        <v/>
      </c>
      <c r="F9" s="24">
        <f>ROUNDUP(C9/2,0)</f>
        <v/>
      </c>
    </row>
    <row r="10">
      <c r="A10" s="16" t="inlineStr">
        <is>
          <t>3. Crecimiento</t>
        </is>
      </c>
      <c r="B10" s="22">
        <f>'Costos fijos'!D11</f>
        <v/>
      </c>
      <c r="C10" s="24">
        <f>IFERROR(ROUNDUP(B10/$B$4,0),0)</f>
        <v/>
      </c>
      <c r="D10" s="24">
        <f>IFERROR(ROUNDUP(B10/$B$5,0),0)</f>
        <v/>
      </c>
      <c r="E10" s="24">
        <f>ROUNDUP(C10/34,0)</f>
        <v/>
      </c>
      <c r="F10" s="24">
        <f>ROUNDUP(C10/2,0)</f>
        <v/>
      </c>
    </row>
    <row r="12">
      <c r="A12" s="19" t="inlineStr">
        <is>
          <t>* Una socia activa hace ~34 limpiezas al mes (≈ 8 por semana). Supuesto propio.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Proyección mensual (escenario elegido en Supuestos)</t>
        </is>
      </c>
    </row>
    <row r="3" ht="45" customHeight="1">
      <c r="A3" s="3" t="inlineStr">
        <is>
          <t>Mes</t>
        </is>
      </c>
      <c r="B3" s="3" t="inlineStr">
        <is>
          <t>Órdenes</t>
        </is>
      </c>
      <c r="C3" s="3" t="inlineStr">
        <is>
          <t>Clientes activos</t>
        </is>
      </c>
      <c r="D3" s="3" t="inlineStr">
        <is>
          <t>Clientes nuevos</t>
        </is>
      </c>
      <c r="E3" s="3" t="inlineStr">
        <is>
          <t>Ingreso bruto (S/)</t>
        </is>
      </c>
      <c r="F3" s="3" t="inlineStr">
        <is>
          <t>Contribución (S/)</t>
        </is>
      </c>
      <c r="G3" s="3" t="inlineStr">
        <is>
          <t>Costo de adquisición (S/)</t>
        </is>
      </c>
      <c r="H3" s="3" t="inlineStr">
        <is>
          <t>Costos fijos (S/)</t>
        </is>
      </c>
      <c r="I3" s="3" t="inlineStr">
        <is>
          <t>Resultado del mes (S/)</t>
        </is>
      </c>
      <c r="J3" s="3" t="inlineStr">
        <is>
          <t>Resultado acumulado (S/)</t>
        </is>
      </c>
      <c r="K3" s="3" t="inlineStr">
        <is>
          <t>GMV — total pagado por clientes (S/)</t>
        </is>
      </c>
      <c r="L3" s="3" t="inlineStr">
        <is>
          <t>Pagado a socias (S/)</t>
        </is>
      </c>
    </row>
    <row r="4">
      <c r="A4" s="25" t="inlineStr">
        <is>
          <t>Mes 1</t>
        </is>
      </c>
      <c r="B4" s="24">
        <f>Supuestos!$B$16</f>
        <v/>
      </c>
      <c r="C4" s="24">
        <f>B4/Supuestos!$B$18</f>
        <v/>
      </c>
      <c r="D4" s="24">
        <f>C4</f>
        <v/>
      </c>
      <c r="E4" s="25">
        <f>B4*'Por orden'!$G$12</f>
        <v/>
      </c>
      <c r="F4" s="25">
        <f>B4*'Por orden'!$G$16</f>
        <v/>
      </c>
      <c r="G4" s="25">
        <f>D4*Supuestos!$B$20</f>
        <v/>
      </c>
      <c r="H4" s="25">
        <f>'Costos fijos'!$B$13</f>
        <v/>
      </c>
      <c r="I4" s="25">
        <f>F4-G4-H4</f>
        <v/>
      </c>
      <c r="J4" s="25">
        <f>I4</f>
        <v/>
      </c>
      <c r="K4" s="25">
        <f>B4*'Por orden'!$G$9</f>
        <v/>
      </c>
      <c r="L4" s="25">
        <f>B4*'Por orden'!$G$18</f>
        <v/>
      </c>
    </row>
    <row r="5">
      <c r="A5" s="25" t="inlineStr">
        <is>
          <t>Mes 2</t>
        </is>
      </c>
      <c r="B5" s="24">
        <f>ROUND(B4*(1+Supuestos!$B$17),0)</f>
        <v/>
      </c>
      <c r="C5" s="24">
        <f>B5/Supuestos!$B$18</f>
        <v/>
      </c>
      <c r="D5" s="24">
        <f>MAX(0,C5-C4*(1-Supuestos!$B$19))</f>
        <v/>
      </c>
      <c r="E5" s="25">
        <f>B5*'Por orden'!$G$12</f>
        <v/>
      </c>
      <c r="F5" s="25">
        <f>B5*'Por orden'!$G$16</f>
        <v/>
      </c>
      <c r="G5" s="25">
        <f>D5*Supuestos!$B$20</f>
        <v/>
      </c>
      <c r="H5" s="25">
        <f>'Costos fijos'!$B$13</f>
        <v/>
      </c>
      <c r="I5" s="25">
        <f>F5-G5-H5</f>
        <v/>
      </c>
      <c r="J5" s="25">
        <f>J4+I5</f>
        <v/>
      </c>
      <c r="K5" s="25">
        <f>B5*'Por orden'!$G$9</f>
        <v/>
      </c>
      <c r="L5" s="25">
        <f>B5*'Por orden'!$G$18</f>
        <v/>
      </c>
    </row>
    <row r="6">
      <c r="A6" s="25" t="inlineStr">
        <is>
          <t>Mes 3</t>
        </is>
      </c>
      <c r="B6" s="24">
        <f>ROUND(B5*(1+Supuestos!$B$17),0)</f>
        <v/>
      </c>
      <c r="C6" s="24">
        <f>B6/Supuestos!$B$18</f>
        <v/>
      </c>
      <c r="D6" s="24">
        <f>MAX(0,C6-C5*(1-Supuestos!$B$19))</f>
        <v/>
      </c>
      <c r="E6" s="25">
        <f>B6*'Por orden'!$G$12</f>
        <v/>
      </c>
      <c r="F6" s="25">
        <f>B6*'Por orden'!$G$16</f>
        <v/>
      </c>
      <c r="G6" s="25">
        <f>D6*Supuestos!$B$20</f>
        <v/>
      </c>
      <c r="H6" s="25">
        <f>'Costos fijos'!$B$13</f>
        <v/>
      </c>
      <c r="I6" s="25">
        <f>F6-G6-H6</f>
        <v/>
      </c>
      <c r="J6" s="25">
        <f>J5+I6</f>
        <v/>
      </c>
      <c r="K6" s="25">
        <f>B6*'Por orden'!$G$9</f>
        <v/>
      </c>
      <c r="L6" s="25">
        <f>B6*'Por orden'!$G$18</f>
        <v/>
      </c>
    </row>
    <row r="7">
      <c r="A7" s="25" t="inlineStr">
        <is>
          <t>Mes 4</t>
        </is>
      </c>
      <c r="B7" s="24">
        <f>ROUND(B6*(1+Supuestos!$B$17),0)</f>
        <v/>
      </c>
      <c r="C7" s="24">
        <f>B7/Supuestos!$B$18</f>
        <v/>
      </c>
      <c r="D7" s="24">
        <f>MAX(0,C7-C6*(1-Supuestos!$B$19))</f>
        <v/>
      </c>
      <c r="E7" s="25">
        <f>B7*'Por orden'!$G$12</f>
        <v/>
      </c>
      <c r="F7" s="25">
        <f>B7*'Por orden'!$G$16</f>
        <v/>
      </c>
      <c r="G7" s="25">
        <f>D7*Supuestos!$B$20</f>
        <v/>
      </c>
      <c r="H7" s="25">
        <f>'Costos fijos'!$B$13</f>
        <v/>
      </c>
      <c r="I7" s="25">
        <f>F7-G7-H7</f>
        <v/>
      </c>
      <c r="J7" s="25">
        <f>J6+I7</f>
        <v/>
      </c>
      <c r="K7" s="25">
        <f>B7*'Por orden'!$G$9</f>
        <v/>
      </c>
      <c r="L7" s="25">
        <f>B7*'Por orden'!$G$18</f>
        <v/>
      </c>
    </row>
    <row r="8">
      <c r="A8" s="25" t="inlineStr">
        <is>
          <t>Mes 5</t>
        </is>
      </c>
      <c r="B8" s="24">
        <f>ROUND(B7*(1+Supuestos!$B$17),0)</f>
        <v/>
      </c>
      <c r="C8" s="24">
        <f>B8/Supuestos!$B$18</f>
        <v/>
      </c>
      <c r="D8" s="24">
        <f>MAX(0,C8-C7*(1-Supuestos!$B$19))</f>
        <v/>
      </c>
      <c r="E8" s="25">
        <f>B8*'Por orden'!$G$12</f>
        <v/>
      </c>
      <c r="F8" s="25">
        <f>B8*'Por orden'!$G$16</f>
        <v/>
      </c>
      <c r="G8" s="25">
        <f>D8*Supuestos!$B$20</f>
        <v/>
      </c>
      <c r="H8" s="25">
        <f>'Costos fijos'!$B$13</f>
        <v/>
      </c>
      <c r="I8" s="25">
        <f>F8-G8-H8</f>
        <v/>
      </c>
      <c r="J8" s="25">
        <f>J7+I8</f>
        <v/>
      </c>
      <c r="K8" s="25">
        <f>B8*'Por orden'!$G$9</f>
        <v/>
      </c>
      <c r="L8" s="25">
        <f>B8*'Por orden'!$G$18</f>
        <v/>
      </c>
    </row>
    <row r="9">
      <c r="A9" s="25" t="inlineStr">
        <is>
          <t>Mes 6</t>
        </is>
      </c>
      <c r="B9" s="24">
        <f>ROUND(B8*(1+Supuestos!$B$17),0)</f>
        <v/>
      </c>
      <c r="C9" s="24">
        <f>B9/Supuestos!$B$18</f>
        <v/>
      </c>
      <c r="D9" s="24">
        <f>MAX(0,C9-C8*(1-Supuestos!$B$19))</f>
        <v/>
      </c>
      <c r="E9" s="25">
        <f>B9*'Por orden'!$G$12</f>
        <v/>
      </c>
      <c r="F9" s="25">
        <f>B9*'Por orden'!$G$16</f>
        <v/>
      </c>
      <c r="G9" s="25">
        <f>D9*Supuestos!$B$20</f>
        <v/>
      </c>
      <c r="H9" s="25">
        <f>'Costos fijos'!$B$13</f>
        <v/>
      </c>
      <c r="I9" s="25">
        <f>F9-G9-H9</f>
        <v/>
      </c>
      <c r="J9" s="25">
        <f>J8+I9</f>
        <v/>
      </c>
      <c r="K9" s="25">
        <f>B9*'Por orden'!$G$9</f>
        <v/>
      </c>
      <c r="L9" s="25">
        <f>B9*'Por orden'!$G$18</f>
        <v/>
      </c>
    </row>
    <row r="10">
      <c r="A10" s="25" t="inlineStr">
        <is>
          <t>Mes 7</t>
        </is>
      </c>
      <c r="B10" s="24">
        <f>ROUND(B9*(1+Supuestos!$B$17),0)</f>
        <v/>
      </c>
      <c r="C10" s="24">
        <f>B10/Supuestos!$B$18</f>
        <v/>
      </c>
      <c r="D10" s="24">
        <f>MAX(0,C10-C9*(1-Supuestos!$B$19))</f>
        <v/>
      </c>
      <c r="E10" s="25">
        <f>B10*'Por orden'!$G$12</f>
        <v/>
      </c>
      <c r="F10" s="25">
        <f>B10*'Por orden'!$G$16</f>
        <v/>
      </c>
      <c r="G10" s="25">
        <f>D10*Supuestos!$B$20</f>
        <v/>
      </c>
      <c r="H10" s="25">
        <f>'Costos fijos'!$B$13</f>
        <v/>
      </c>
      <c r="I10" s="25">
        <f>F10-G10-H10</f>
        <v/>
      </c>
      <c r="J10" s="25">
        <f>J9+I10</f>
        <v/>
      </c>
      <c r="K10" s="25">
        <f>B10*'Por orden'!$G$9</f>
        <v/>
      </c>
      <c r="L10" s="25">
        <f>B10*'Por orden'!$G$18</f>
        <v/>
      </c>
    </row>
    <row r="11">
      <c r="A11" s="25" t="inlineStr">
        <is>
          <t>Mes 8</t>
        </is>
      </c>
      <c r="B11" s="24">
        <f>ROUND(B10*(1+Supuestos!$B$17),0)</f>
        <v/>
      </c>
      <c r="C11" s="24">
        <f>B11/Supuestos!$B$18</f>
        <v/>
      </c>
      <c r="D11" s="24">
        <f>MAX(0,C11-C10*(1-Supuestos!$B$19))</f>
        <v/>
      </c>
      <c r="E11" s="25">
        <f>B11*'Por orden'!$G$12</f>
        <v/>
      </c>
      <c r="F11" s="25">
        <f>B11*'Por orden'!$G$16</f>
        <v/>
      </c>
      <c r="G11" s="25">
        <f>D11*Supuestos!$B$20</f>
        <v/>
      </c>
      <c r="H11" s="25">
        <f>'Costos fijos'!$B$13</f>
        <v/>
      </c>
      <c r="I11" s="25">
        <f>F11-G11-H11</f>
        <v/>
      </c>
      <c r="J11" s="25">
        <f>J10+I11</f>
        <v/>
      </c>
      <c r="K11" s="25">
        <f>B11*'Por orden'!$G$9</f>
        <v/>
      </c>
      <c r="L11" s="25">
        <f>B11*'Por orden'!$G$18</f>
        <v/>
      </c>
    </row>
    <row r="12">
      <c r="A12" s="25" t="inlineStr">
        <is>
          <t>Mes 9</t>
        </is>
      </c>
      <c r="B12" s="24">
        <f>ROUND(B11*(1+Supuestos!$B$17),0)</f>
        <v/>
      </c>
      <c r="C12" s="24">
        <f>B12/Supuestos!$B$18</f>
        <v/>
      </c>
      <c r="D12" s="24">
        <f>MAX(0,C12-C11*(1-Supuestos!$B$19))</f>
        <v/>
      </c>
      <c r="E12" s="25">
        <f>B12*'Por orden'!$G$12</f>
        <v/>
      </c>
      <c r="F12" s="25">
        <f>B12*'Por orden'!$G$16</f>
        <v/>
      </c>
      <c r="G12" s="25">
        <f>D12*Supuestos!$B$20</f>
        <v/>
      </c>
      <c r="H12" s="25">
        <f>'Costos fijos'!$B$13</f>
        <v/>
      </c>
      <c r="I12" s="25">
        <f>F12-G12-H12</f>
        <v/>
      </c>
      <c r="J12" s="25">
        <f>J11+I12</f>
        <v/>
      </c>
      <c r="K12" s="25">
        <f>B12*'Por orden'!$G$9</f>
        <v/>
      </c>
      <c r="L12" s="25">
        <f>B12*'Por orden'!$G$18</f>
        <v/>
      </c>
    </row>
    <row r="13">
      <c r="A13" s="25" t="inlineStr">
        <is>
          <t>Mes 10</t>
        </is>
      </c>
      <c r="B13" s="24">
        <f>ROUND(B12*(1+Supuestos!$B$17),0)</f>
        <v/>
      </c>
      <c r="C13" s="24">
        <f>B13/Supuestos!$B$18</f>
        <v/>
      </c>
      <c r="D13" s="24">
        <f>MAX(0,C13-C12*(1-Supuestos!$B$19))</f>
        <v/>
      </c>
      <c r="E13" s="25">
        <f>B13*'Por orden'!$G$12</f>
        <v/>
      </c>
      <c r="F13" s="25">
        <f>B13*'Por orden'!$G$16</f>
        <v/>
      </c>
      <c r="G13" s="25">
        <f>D13*Supuestos!$B$20</f>
        <v/>
      </c>
      <c r="H13" s="25">
        <f>'Costos fijos'!$B$13</f>
        <v/>
      </c>
      <c r="I13" s="25">
        <f>F13-G13-H13</f>
        <v/>
      </c>
      <c r="J13" s="25">
        <f>J12+I13</f>
        <v/>
      </c>
      <c r="K13" s="25">
        <f>B13*'Por orden'!$G$9</f>
        <v/>
      </c>
      <c r="L13" s="25">
        <f>B13*'Por orden'!$G$18</f>
        <v/>
      </c>
    </row>
    <row r="14">
      <c r="A14" s="25" t="inlineStr">
        <is>
          <t>Mes 11</t>
        </is>
      </c>
      <c r="B14" s="24">
        <f>ROUND(B13*(1+Supuestos!$B$17),0)</f>
        <v/>
      </c>
      <c r="C14" s="24">
        <f>B14/Supuestos!$B$18</f>
        <v/>
      </c>
      <c r="D14" s="24">
        <f>MAX(0,C14-C13*(1-Supuestos!$B$19))</f>
        <v/>
      </c>
      <c r="E14" s="25">
        <f>B14*'Por orden'!$G$12</f>
        <v/>
      </c>
      <c r="F14" s="25">
        <f>B14*'Por orden'!$G$16</f>
        <v/>
      </c>
      <c r="G14" s="25">
        <f>D14*Supuestos!$B$20</f>
        <v/>
      </c>
      <c r="H14" s="25">
        <f>'Costos fijos'!$B$13</f>
        <v/>
      </c>
      <c r="I14" s="25">
        <f>F14-G14-H14</f>
        <v/>
      </c>
      <c r="J14" s="25">
        <f>J13+I14</f>
        <v/>
      </c>
      <c r="K14" s="25">
        <f>B14*'Por orden'!$G$9</f>
        <v/>
      </c>
      <c r="L14" s="25">
        <f>B14*'Por orden'!$G$18</f>
        <v/>
      </c>
    </row>
    <row r="15">
      <c r="A15" s="25" t="inlineStr">
        <is>
          <t>Mes 12</t>
        </is>
      </c>
      <c r="B15" s="24">
        <f>ROUND(B14*(1+Supuestos!$B$17),0)</f>
        <v/>
      </c>
      <c r="C15" s="24">
        <f>B15/Supuestos!$B$18</f>
        <v/>
      </c>
      <c r="D15" s="24">
        <f>MAX(0,C15-C14*(1-Supuestos!$B$19))</f>
        <v/>
      </c>
      <c r="E15" s="25">
        <f>B15*'Por orden'!$G$12</f>
        <v/>
      </c>
      <c r="F15" s="25">
        <f>B15*'Por orden'!$G$16</f>
        <v/>
      </c>
      <c r="G15" s="25">
        <f>D15*Supuestos!$B$20</f>
        <v/>
      </c>
      <c r="H15" s="25">
        <f>'Costos fijos'!$B$13</f>
        <v/>
      </c>
      <c r="I15" s="25">
        <f>F15-G15-H15</f>
        <v/>
      </c>
      <c r="J15" s="25">
        <f>J14+I15</f>
        <v/>
      </c>
      <c r="K15" s="25">
        <f>B15*'Por orden'!$G$9</f>
        <v/>
      </c>
      <c r="L15" s="25">
        <f>B15*'Por orden'!$G$18</f>
        <v/>
      </c>
    </row>
    <row r="16">
      <c r="A16" s="16" t="inlineStr">
        <is>
          <t>Total año</t>
        </is>
      </c>
      <c r="B16" s="26">
        <f>SUM(B4:B15)</f>
        <v/>
      </c>
      <c r="D16" s="26">
        <f>SUM(D4:D15)</f>
        <v/>
      </c>
      <c r="E16" s="21">
        <f>SUM(E4:E15)</f>
        <v/>
      </c>
      <c r="F16" s="21">
        <f>SUM(F4:F15)</f>
        <v/>
      </c>
      <c r="G16" s="21">
        <f>SUM(G4:G15)</f>
        <v/>
      </c>
      <c r="H16" s="21">
        <f>SUM(H4:H15)</f>
        <v/>
      </c>
      <c r="I16" s="21">
        <f>SUM(I4:I15)</f>
        <v/>
      </c>
      <c r="K16" s="21">
        <f>SUM(K4:K15)</f>
        <v/>
      </c>
      <c r="L16" s="21">
        <f>SUM(L4:L15)</f>
        <v/>
      </c>
    </row>
    <row r="18">
      <c r="A18" s="16" t="inlineStr">
        <is>
          <t>Mes en que el resultado mensual pasa a positivo</t>
        </is>
      </c>
      <c r="E18" s="27">
        <f>IFERROR(INDEX(A4:A15,MATCH(TRUE,INDEX(I4:I15&gt;0,0),0)),"Aún no en 12 meses")</f>
        <v/>
      </c>
    </row>
    <row r="19">
      <c r="A19" s="16" t="inlineStr">
        <is>
          <t>Inversión máxima necesaria (peor acumulado)</t>
        </is>
      </c>
      <c r="E19" s="22">
        <f>-MIN(0,MIN(J4:J15))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Cuánto gana una socia de limpieza</t>
        </is>
      </c>
    </row>
    <row r="3">
      <c r="A3" s="5" t="inlineStr">
        <is>
          <t>Limpiezas por semana</t>
        </is>
      </c>
      <c r="B3" s="9" t="n">
        <v>8</v>
      </c>
    </row>
    <row r="4">
      <c r="A4" s="5" t="inlineStr">
        <is>
          <t>Propina promedio por servicio (S/)</t>
        </is>
      </c>
      <c r="B4" s="8" t="n">
        <v>3</v>
      </c>
    </row>
    <row r="5">
      <c r="A5" s="5" t="inlineStr">
        <is>
          <t>Recibe por limpieza (sin materiales)</t>
        </is>
      </c>
      <c r="B5" s="28">
        <f>'Por orden'!B8-'Por orden'!B10+B4</f>
        <v/>
      </c>
    </row>
    <row r="6">
      <c r="A6" s="5" t="inlineStr">
        <is>
          <t>Por hora efectiva</t>
        </is>
      </c>
      <c r="B6" s="28">
        <f>B5/'Por orden'!B5</f>
        <v/>
      </c>
    </row>
    <row r="7">
      <c r="A7" s="5" t="inlineStr">
        <is>
          <t>Al mes (4.3 semanas)</t>
        </is>
      </c>
      <c r="B7" s="28">
        <f>B5*B3*4.3</f>
        <v/>
      </c>
    </row>
    <row r="8">
      <c r="A8" s="5" t="inlineStr">
        <is>
          <t>Comparación: sueldo mínimo 2026</t>
        </is>
      </c>
      <c r="B8" s="8" t="n">
        <v>1130</v>
      </c>
    </row>
    <row r="9">
      <c r="A9" s="5" t="inlineStr">
        <is>
          <t>Comparación: agencia informal (~S/10/h)</t>
        </is>
      </c>
      <c r="B9" s="28">
        <f>10*'Por orden'!B5*B3*4.3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2026-10-04T03:36:16Z</dcterms:created>
  <dcterms:modified xsi:type="dcterms:W3CDTF">2026-10-04T03:36:16Z</dcterms:modified>
</cp:coreProperties>
</file>